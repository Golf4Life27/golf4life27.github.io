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alculator" sheetId="2" state="visible" r:id="rId2"/>
    <sheet xmlns:r="http://schemas.openxmlformats.org/officeDocument/2006/relationships" name="Full ver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;[Red]-&quot;$&quot;#,##0"/>
    <numFmt numFmtId="165" formatCode="0.0%"/>
    <numFmt numFmtId="166" formatCode="&quot;$&quot;#,##0.00;[Red]-&quot;$&quot;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D6E2F0"/>
      <sz val="9"/>
    </font>
    <font>
      <name val="Arial"/>
      <b val="1"/>
      <color rgb="001F3A5F"/>
      <sz val="12"/>
    </font>
    <font>
      <name val="Arial"/>
      <b val="1"/>
      <color rgb="002A9D8F"/>
      <sz val="10"/>
    </font>
    <font>
      <name val="Arial"/>
      <color rgb="00222222"/>
      <sz val="10"/>
    </font>
    <font>
      <name val="Arial"/>
      <i val="1"/>
      <color rgb="00444444"/>
      <sz val="9"/>
    </font>
    <font>
      <name val="Arial"/>
      <i val="1"/>
      <color rgb="006B7B8C"/>
      <sz val="8"/>
    </font>
    <font>
      <name val="Arial"/>
      <b val="1"/>
      <color rgb="00FFFFFF"/>
      <sz val="11"/>
    </font>
    <font>
      <name val="Arial"/>
      <b val="1"/>
      <color rgb="00222222"/>
      <sz val="10"/>
    </font>
    <font>
      <name val="Arial"/>
      <b val="1"/>
      <color rgb="001F3A5F"/>
      <sz val="11"/>
    </font>
    <font>
      <name val="Arial"/>
      <color rgb="000563C1"/>
      <sz val="10"/>
      <u val="single"/>
    </font>
    <font>
      <name val="Arial"/>
      <b val="1"/>
      <color rgb="00FFFFFF"/>
      <sz val="10"/>
    </font>
    <font>
      <name val="Arial"/>
      <b val="1"/>
      <color rgb="001F3A5F"/>
      <sz val="10"/>
    </font>
  </fonts>
  <fills count="6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FF4CC"/>
        <bgColor rgb="00FFF4CC"/>
      </patternFill>
    </fill>
    <fill>
      <patternFill patternType="solid">
        <fgColor rgb="00EEF2F7"/>
        <bgColor rgb="00EEF2F7"/>
      </patternFill>
    </fill>
    <fill>
      <patternFill patternType="solid">
        <fgColor rgb="002A9D8F"/>
        <bgColor rgb="002A9D8F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5" borderId="0" pivotButton="0" quotePrefix="0" xfId="0"/>
    <xf numFmtId="0" fontId="0" fillId="5" borderId="0" pivotButton="0" quotePrefix="0" xfId="0"/>
    <xf numFmtId="0" fontId="5" fillId="0" borderId="1" pivotButton="0" quotePrefix="0" xfId="0"/>
    <xf numFmtId="164" fontId="5" fillId="3" borderId="1" pivotButton="0" quotePrefix="0" xfId="0"/>
    <xf numFmtId="164" fontId="10" fillId="4" borderId="1" pivotButton="0" quotePrefix="0" xfId="0"/>
    <xf numFmtId="165" fontId="5" fillId="3" borderId="1" pivotButton="0" quotePrefix="0" xfId="0"/>
    <xf numFmtId="10" fontId="5" fillId="3" borderId="1" pivotButton="0" quotePrefix="0" xfId="0"/>
    <xf numFmtId="166" fontId="10" fillId="4" borderId="1" pivotButton="0" quotePrefix="0" xfId="0"/>
    <xf numFmtId="1" fontId="5" fillId="3" borderId="1" pivotButton="0" quotePrefix="0" xfId="0"/>
    <xf numFmtId="0" fontId="10" fillId="0" borderId="1" pivotButton="0" quotePrefix="0" xfId="0"/>
    <xf numFmtId="10" fontId="10" fillId="4" borderId="1" pivotButton="0" quotePrefix="0" xfId="0"/>
    <xf numFmtId="0" fontId="10" fillId="4" borderId="1" pivotButton="0" quotePrefix="0" xfId="0"/>
    <xf numFmtId="0" fontId="11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C0392B"/>
        <sz val="12"/>
      </font>
    </dxf>
    <dxf>
      <font>
        <name val="Arial"/>
        <b val="1"/>
        <color rgb="001E8449"/>
        <sz val="1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etsy.com/listing/459132140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etsy.com/listing/4591321405" TargetMode="External" Id="rId1"/><Relationship Type="http://schemas.openxmlformats.org/officeDocument/2006/relationships/hyperlink" Target="https://www.etsy.com/listing/4591926223" TargetMode="External" Id="rId2"/><Relationship Type="http://schemas.openxmlformats.org/officeDocument/2006/relationships/hyperlink" Target="https://www.etsy.com/listing/4591329500" TargetMode="External" Id="rId3"/><Relationship Type="http://schemas.openxmlformats.org/officeDocument/2006/relationships/hyperlink" Target="https://www.etsy.com/listing/4591928461" TargetMode="External" Id="rId4"/><Relationship Type="http://schemas.openxmlformats.org/officeDocument/2006/relationships/hyperlink" Target="https://www.etsy.com/shop/KeyLedgerTemplates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Rental Cash Flow Quick Calculator (FREE)</t>
        </is>
      </c>
      <c r="B1" s="2" t="n"/>
      <c r="C1" s="2" t="n"/>
      <c r="D1" s="2" t="n"/>
      <c r="E1" s="2" t="n"/>
      <c r="F1" s="2" t="n"/>
    </row>
    <row r="2">
      <c r="A2" s="3" t="inlineStr">
        <is>
          <t>KeyLedger Templates | v1.0 (Oct 2026) | Excel, Google Sheets, LibreOffice, Numbers</t>
        </is>
      </c>
      <c r="B2" s="2" t="n"/>
      <c r="C2" s="2" t="n"/>
      <c r="D2" s="2" t="n"/>
      <c r="E2" s="2" t="n"/>
      <c r="F2" s="2" t="n"/>
    </row>
    <row r="3"/>
    <row r="4">
      <c r="B4" s="4" t="inlineStr">
        <is>
          <t>How to use it</t>
        </is>
      </c>
    </row>
    <row r="5" ht="18" customHeight="1">
      <c r="A5" s="5" t="n">
        <v>1</v>
      </c>
      <c r="B5" s="6" t="inlineStr">
        <is>
          <t>Calculator tab: replace the example numbers in the yellow cells with the property you're looking at.</t>
        </is>
      </c>
    </row>
    <row r="6" ht="18" customHeight="1">
      <c r="A6" s="5" t="n">
        <v>2</v>
      </c>
      <c r="B6" s="6" t="inlineStr">
        <is>
          <t>Read the results: monthly mortgage payment, net operating income, monthly cash flow, cap rate, cash-on-cash return and the 1% rule.</t>
        </is>
      </c>
    </row>
    <row r="7" ht="18" customHeight="1">
      <c r="A7" s="5" t="n">
        <v>3</v>
      </c>
      <c r="B7" s="6" t="inlineStr">
        <is>
          <t>Reserves for repairs and CapEx are included on purpose. Leaving them out is the most common way new investors overestimate cash flow.</t>
        </is>
      </c>
    </row>
    <row r="8" ht="18" customHeight="1">
      <c r="A8" s="5" t="n">
        <v>4</v>
      </c>
      <c r="B8" s="6" t="inlineStr">
        <is>
          <t>Want DSCR, break-even occupancy, 2-4 units and a 10-year equity projection? See the 'Full version' tab.</t>
        </is>
      </c>
    </row>
    <row r="9" ht="18" customHeight="1"/>
    <row r="10" ht="18" customHeight="1">
      <c r="B10" s="4" t="inlineStr">
        <is>
          <t>Color key</t>
        </is>
      </c>
    </row>
    <row r="11" ht="18" customHeight="1">
      <c r="B11" s="7" t="inlineStr">
        <is>
          <t>Yellow cells: your inputs.</t>
        </is>
      </c>
    </row>
    <row r="12" ht="18" customHeight="1">
      <c r="B12" s="8" t="inlineStr">
        <is>
          <t>Blue-grey cells: formulas. Leave them alone, they update automatically.</t>
        </is>
      </c>
    </row>
    <row r="13" ht="18" customHeight="1"/>
    <row r="14" ht="18" customHeight="1">
      <c r="B14" s="4" t="inlineStr">
        <is>
          <t>Google Sheets</t>
        </is>
      </c>
    </row>
    <row r="15" ht="18" customHeight="1">
      <c r="B15" s="9" t="inlineStr">
        <is>
          <t>In Google Drive choose New &gt; File upload, pick this .xlsx, then open it and choose File &gt; Save as Google Sheets. All formulas and dropdowns carry over.</t>
        </is>
      </c>
    </row>
    <row r="16" ht="18" customHeight="1"/>
    <row r="17" ht="18" customHeight="1">
      <c r="B17" s="10" t="inlineStr">
        <is>
          <t>Free to use for your own deals. Please don't resell it. Shared by KeyLedger Templates: https://www.etsy.com/shop/KeyLedgerTemplates</t>
        </is>
      </c>
    </row>
    <row r="18" ht="18" customHeight="1"/>
    <row r="19" ht="42" customHeight="1">
      <c r="B19" s="11" t="inlineStr">
        <is>
          <t>Important: this is an organizing and estimating tool, not tax, legal, accounting or investment advice. Formulas are estimates based on the numbers you enter. Check local laws and talk to a qualified professional before making decisions. Made by our shop with the help of AI tools; every formula was tested before release.</t>
        </is>
      </c>
    </row>
  </sheetData>
  <printOptions horizontalCentered="1"/>
  <pageMargins left="0.3" right="0.3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3" customWidth="1" min="3" max="3"/>
    <col width="38" customWidth="1" min="4" max="4"/>
    <col width="22" customWidth="1" min="5" max="5"/>
    <col width="3" customWidth="1" min="6" max="6"/>
  </cols>
  <sheetData>
    <row r="1" ht="28" customHeight="1">
      <c r="A1" s="1" t="inlineStr">
        <is>
          <t>Rental Cash Flow Quick Calculator</t>
        </is>
      </c>
      <c r="B1" s="2" t="n"/>
      <c r="C1" s="2" t="n"/>
      <c r="D1" s="2" t="n"/>
      <c r="E1" s="2" t="n"/>
      <c r="F1" s="2" t="n"/>
    </row>
    <row r="2">
      <c r="A2" s="3" t="inlineStr">
        <is>
          <t>Yellow = your inputs. Results update instantly.</t>
        </is>
      </c>
      <c r="B2" s="2" t="n"/>
      <c r="C2" s="2" t="n"/>
      <c r="D2" s="2" t="n"/>
      <c r="E2" s="2" t="n"/>
      <c r="F2" s="2" t="n"/>
    </row>
    <row r="3"/>
    <row r="4">
      <c r="A4" s="12" t="inlineStr">
        <is>
          <t>Purchase &amp; loan</t>
        </is>
      </c>
      <c r="B4" s="13" t="n"/>
      <c r="C4" s="13" t="n"/>
    </row>
    <row r="5">
      <c r="A5" s="14" t="inlineStr">
        <is>
          <t>Purchase price</t>
        </is>
      </c>
      <c r="B5" s="15" t="n">
        <v>220000</v>
      </c>
      <c r="D5" s="12" t="inlineStr">
        <is>
          <t>Results (monthly unless noted)</t>
        </is>
      </c>
      <c r="E5" s="13" t="n"/>
      <c r="F5" s="13" t="n"/>
    </row>
    <row r="6">
      <c r="A6" s="14" t="inlineStr">
        <is>
          <t>Closing costs + upfront repairs</t>
        </is>
      </c>
      <c r="B6" s="15" t="n">
        <v>8000</v>
      </c>
      <c r="D6" s="14" t="inlineStr">
        <is>
          <t>Loan amount</t>
        </is>
      </c>
      <c r="E6" s="16">
        <f>$B$5*(1-$B$7)</f>
        <v/>
      </c>
    </row>
    <row r="7">
      <c r="A7" s="14" t="inlineStr">
        <is>
          <t>Down payment %</t>
        </is>
      </c>
      <c r="B7" s="17" t="n">
        <v>0.25</v>
      </c>
      <c r="D7" s="14" t="inlineStr">
        <is>
          <t>Cash needed (down + closing/repairs)</t>
        </is>
      </c>
      <c r="E7" s="16">
        <f>$B$5*$B$7+$B$6</f>
        <v/>
      </c>
    </row>
    <row r="8">
      <c r="A8" s="14" t="inlineStr">
        <is>
          <t>Interest rate (annual)</t>
        </is>
      </c>
      <c r="B8" s="18" t="n">
        <v>0.07000000000000001</v>
      </c>
      <c r="D8" s="14" t="inlineStr">
        <is>
          <t>Mortgage payment (P&amp;I)</t>
        </is>
      </c>
      <c r="E8" s="19">
        <f>IF(E6=0,0,PMT($B$8/12,$B$9*12,-E6))</f>
        <v/>
      </c>
    </row>
    <row r="9">
      <c r="A9" s="14" t="inlineStr">
        <is>
          <t>Loan term (years)</t>
        </is>
      </c>
      <c r="B9" s="20" t="n">
        <v>30</v>
      </c>
      <c r="D9" s="14" t="inlineStr">
        <is>
          <t>Gross income</t>
        </is>
      </c>
      <c r="E9" s="19">
        <f>$B$11+$B$12</f>
        <v/>
      </c>
    </row>
    <row r="10">
      <c r="A10" s="12" t="inlineStr">
        <is>
          <t>Income (monthly)</t>
        </is>
      </c>
      <c r="B10" s="13" t="n"/>
      <c r="C10" s="13" t="n"/>
      <c r="D10" s="14" t="inlineStr">
        <is>
          <t>Vacancy loss</t>
        </is>
      </c>
      <c r="E10" s="19">
        <f>E9*$B$14</f>
        <v/>
      </c>
    </row>
    <row r="11">
      <c r="A11" s="14" t="inlineStr">
        <is>
          <t>Rent</t>
        </is>
      </c>
      <c r="B11" s="15" t="n">
        <v>1950</v>
      </c>
      <c r="D11" s="14" t="inlineStr">
        <is>
          <t>Operating expenses</t>
        </is>
      </c>
      <c r="E11" s="19">
        <f>(E9-E10)*$B$15+E9*$B$16+$B$17/12+$B$18/12+$B$19</f>
        <v/>
      </c>
    </row>
    <row r="12">
      <c r="A12" s="14" t="inlineStr">
        <is>
          <t>Other income</t>
        </is>
      </c>
      <c r="B12" s="15" t="n">
        <v>0</v>
      </c>
      <c r="D12" s="14" t="inlineStr">
        <is>
          <t>Net operating income (NOI)</t>
        </is>
      </c>
      <c r="E12" s="19">
        <f>E9-E10-E11</f>
        <v/>
      </c>
    </row>
    <row r="13">
      <c r="A13" s="12" t="inlineStr">
        <is>
          <t>Expenses</t>
        </is>
      </c>
      <c r="B13" s="13" t="n"/>
      <c r="C13" s="13" t="n"/>
      <c r="D13" s="21" t="inlineStr">
        <is>
          <t>CASH FLOW</t>
        </is>
      </c>
      <c r="E13" s="19">
        <f>E12-E8</f>
        <v/>
      </c>
    </row>
    <row r="14">
      <c r="A14" s="14" t="inlineStr">
        <is>
          <t>Vacancy % of rent</t>
        </is>
      </c>
      <c r="B14" s="17" t="n">
        <v>0.05</v>
      </c>
      <c r="D14" s="14" t="inlineStr">
        <is>
          <t>Cap rate (annual NOI / price)</t>
        </is>
      </c>
      <c r="E14" s="22">
        <f>IF($B$5=0,0,E12*12/$B$5)</f>
        <v/>
      </c>
    </row>
    <row r="15">
      <c r="A15" s="14" t="inlineStr">
        <is>
          <t>Property management %</t>
        </is>
      </c>
      <c r="B15" s="17" t="n">
        <v>0.08</v>
      </c>
      <c r="D15" s="14" t="inlineStr">
        <is>
          <t>Cash-on-cash return (annual)</t>
        </is>
      </c>
      <c r="E15" s="22">
        <f>IF(E7=0,0,E13*12/E7)</f>
        <v/>
      </c>
    </row>
    <row r="16">
      <c r="A16" s="14" t="inlineStr">
        <is>
          <t>Repairs + CapEx reserve % of rent</t>
        </is>
      </c>
      <c r="B16" s="17" t="n">
        <v>0.1</v>
      </c>
      <c r="D16" s="14" t="inlineStr">
        <is>
          <t>1% rule (rent / price)</t>
        </is>
      </c>
      <c r="E16" s="22">
        <f>IF($B$5=0,0,$B$11/$B$5)</f>
        <v/>
      </c>
    </row>
    <row r="17">
      <c r="A17" s="14" t="inlineStr">
        <is>
          <t>Property taxes (annual)</t>
        </is>
      </c>
      <c r="B17" s="15" t="n">
        <v>3000</v>
      </c>
      <c r="D17" s="14" t="inlineStr">
        <is>
          <t>Quick verdict</t>
        </is>
      </c>
      <c r="E17" s="23">
        <f>IF(E13&lt;=0,"Negative cash flow: re-check price or rent",IF(E15&lt;0.08,"Positive but thin: compare carefully","Worth a deeper look"))</f>
        <v/>
      </c>
    </row>
    <row r="18">
      <c r="A18" s="14" t="inlineStr">
        <is>
          <t>Insurance (annual)</t>
        </is>
      </c>
      <c r="B18" s="15" t="n">
        <v>1400</v>
      </c>
    </row>
    <row r="19">
      <c r="A19" s="14" t="inlineStr">
        <is>
          <t>HOA + owner-paid utilities (monthly)</t>
        </is>
      </c>
      <c r="B19" s="15" t="n">
        <v>0</v>
      </c>
    </row>
    <row r="20">
      <c r="D20" s="5" t="inlineStr">
        <is>
          <t>Want the full analyzer? DSCR, break-even occupancy, 1-4 units, 10-year projection:</t>
        </is>
      </c>
    </row>
    <row r="21">
      <c r="D21" s="24" t="inlineStr">
        <is>
          <t>Rental Property Deal Analyzer on Etsy</t>
        </is>
      </c>
    </row>
  </sheetData>
  <conditionalFormatting sqref="E13">
    <cfRule type="expression" priority="1" dxfId="0">
      <formula>E13&lt;0</formula>
    </cfRule>
    <cfRule type="expression" priority="2" dxfId="1">
      <formula>E13&gt;=0</formula>
    </cfRule>
  </conditionalFormatting>
  <hyperlinks>
    <hyperlink xmlns:r="http://schemas.openxmlformats.org/officeDocument/2006/relationships" ref="D21" r:id="rId1"/>
  </hyperlinks>
  <printOptions horizontalCentered="1"/>
  <pageMargins left="0.3" right="0.3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16" customWidth="1" min="3" max="3"/>
  </cols>
  <sheetData>
    <row r="1" ht="28" customHeight="1">
      <c r="A1" s="1" t="inlineStr">
        <is>
          <t>Want more? The full KeyLedger toolkit</t>
        </is>
      </c>
      <c r="B1" s="2" t="n"/>
      <c r="C1" s="2" t="n"/>
      <c r="D1" s="2" t="n"/>
    </row>
    <row r="2">
      <c r="A2" s="3" t="inlineStr">
        <is>
          <t>Paid templates, instant download on Etsy</t>
        </is>
      </c>
      <c r="B2" s="2" t="n"/>
      <c r="C2" s="2" t="n"/>
      <c r="D2" s="2" t="n"/>
    </row>
    <row r="3"/>
    <row r="4" ht="30" customHeight="1">
      <c r="A4" s="25" t="inlineStr">
        <is>
          <t>Template</t>
        </is>
      </c>
      <c r="B4" s="25" t="inlineStr">
        <is>
          <t>What it adds</t>
        </is>
      </c>
      <c r="C4" s="25" t="inlineStr">
        <is>
          <t>Link</t>
        </is>
      </c>
    </row>
    <row r="5" ht="34" customHeight="1">
      <c r="A5" s="26" t="inlineStr">
        <is>
          <t>Rental Property Deal Analyzer</t>
        </is>
      </c>
      <c r="B5" s="6" t="inlineStr">
        <is>
          <t>Everything here plus 1-4 units, DSCR, GRM, break-even occupancy, screening verdict and a 10-year equity projection.</t>
        </is>
      </c>
      <c r="C5" s="24" t="inlineStr">
        <is>
          <t>Open on Etsy</t>
        </is>
      </c>
    </row>
    <row r="6" ht="34" customHeight="1">
      <c r="A6" s="26" t="inlineStr">
        <is>
          <t>BRRRR Calculator</t>
        </is>
      </c>
      <c r="B6" s="6" t="inlineStr">
        <is>
          <t>Cash out at refinance, cash left in the deal, max price for a full cash-out.</t>
        </is>
      </c>
      <c r="C6" s="24" t="inlineStr">
        <is>
          <t>Open on Etsy</t>
        </is>
      </c>
    </row>
    <row r="7" ht="34" customHeight="1">
      <c r="A7" s="26" t="inlineStr">
        <is>
          <t>Rental Income &amp; Expense Tracker</t>
        </is>
      </c>
      <c r="B7" s="6" t="inlineStr">
        <is>
          <t>Track rent and expenses for up to 10 properties with Schedule E categories.</t>
        </is>
      </c>
      <c r="C7" s="24" t="inlineStr">
        <is>
          <t>Open on Etsy</t>
        </is>
      </c>
    </row>
    <row r="8" ht="34" customHeight="1">
      <c r="A8" s="26" t="inlineStr">
        <is>
          <t>Investor Calculator Bundle</t>
        </is>
      </c>
      <c r="B8" s="6" t="inlineStr">
        <is>
          <t>Deal Analyzer + BRRRR + Fix &amp; Flip + Offer (MAO) calculators, about 40% off vs. separately.</t>
        </is>
      </c>
      <c r="C8" s="24" t="inlineStr">
        <is>
          <t>Open on Etsy</t>
        </is>
      </c>
    </row>
    <row r="9" ht="34" customHeight="1">
      <c r="A9" s="26" t="inlineStr">
        <is>
          <t>All templates</t>
        </is>
      </c>
      <c r="B9" s="6" t="inlineStr">
        <is>
          <t>Browse the whole shop.</t>
        </is>
      </c>
      <c r="C9" s="24" t="inlineStr">
        <is>
          <t>Open on Etsy</t>
        </is>
      </c>
    </row>
  </sheetData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2026-10-08T00:00:00Z</dcterms:created>
  <dcterms:modified xmlns:dcterms="http://purl.org/dc/terms/" xmlns:xsi="http://www.w3.org/2001/XMLSchema-instance" xsi:type="dcterms:W3CDTF">2026-10-09T15:32:34Z</dcterms:modified>
</cp:coreProperties>
</file>